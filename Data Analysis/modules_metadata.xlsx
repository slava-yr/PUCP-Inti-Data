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PUCP-Inti-Data\Data Analysis\"/>
    </mc:Choice>
  </mc:AlternateContent>
  <xr:revisionPtr revIDLastSave="0" documentId="13_ncr:9_{1F05C319-2212-468E-8D8C-29B3D91EFD95}" xr6:coauthVersionLast="47" xr6:coauthVersionMax="47" xr10:uidLastSave="{00000000-0000-0000-0000-000000000000}"/>
  <bookViews>
    <workbookView xWindow="14295" yWindow="0" windowWidth="14610" windowHeight="15585" xr2:uid="{427CFB98-707E-4B40-BC49-6ADBF2F989A9}"/>
  </bookViews>
  <sheets>
    <sheet name="modules_meta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0" i="1" l="1"/>
  <c r="F17" i="1"/>
  <c r="F14" i="1"/>
  <c r="F15" i="1" s="1"/>
  <c r="F10" i="1"/>
  <c r="F13" i="1" s="1"/>
  <c r="O9" i="1"/>
  <c r="N9" i="1"/>
  <c r="F9" i="1"/>
  <c r="F8" i="1"/>
  <c r="F7" i="1"/>
  <c r="C21" i="1"/>
  <c r="F21" i="1"/>
  <c r="H21" i="1"/>
  <c r="I21" i="1"/>
  <c r="J21" i="1"/>
  <c r="K21" i="1"/>
  <c r="L21" i="1"/>
  <c r="M21" i="1"/>
  <c r="N21" i="1"/>
  <c r="O21" i="1"/>
  <c r="P21" i="1"/>
  <c r="Q21" i="1"/>
  <c r="C18" i="1"/>
  <c r="E18" i="1"/>
  <c r="F18" i="1"/>
  <c r="H18" i="1"/>
  <c r="I18" i="1"/>
  <c r="J18" i="1"/>
  <c r="K18" i="1"/>
  <c r="L18" i="1"/>
  <c r="M18" i="1"/>
  <c r="N18" i="1"/>
  <c r="O18" i="1"/>
  <c r="P18" i="1"/>
  <c r="Q18" i="1"/>
  <c r="C19" i="1"/>
  <c r="E19" i="1"/>
  <c r="F19" i="1"/>
  <c r="H19" i="1"/>
  <c r="I19" i="1"/>
  <c r="J19" i="1"/>
  <c r="K19" i="1"/>
  <c r="L19" i="1"/>
  <c r="M19" i="1"/>
  <c r="N19" i="1"/>
  <c r="O19" i="1"/>
  <c r="P19" i="1"/>
  <c r="Q19" i="1"/>
  <c r="C15" i="1"/>
  <c r="H15" i="1"/>
  <c r="I15" i="1"/>
  <c r="J15" i="1"/>
  <c r="K15" i="1"/>
  <c r="L15" i="1"/>
  <c r="M15" i="1"/>
  <c r="N15" i="1"/>
  <c r="O15" i="1"/>
  <c r="P15" i="1"/>
  <c r="Q15" i="1"/>
  <c r="C16" i="1"/>
  <c r="F16" i="1"/>
  <c r="H16" i="1"/>
  <c r="I16" i="1"/>
  <c r="J16" i="1"/>
  <c r="K16" i="1"/>
  <c r="L16" i="1"/>
  <c r="M16" i="1"/>
  <c r="N16" i="1"/>
  <c r="O16" i="1"/>
  <c r="P16" i="1"/>
  <c r="Q16" i="1"/>
  <c r="B21" i="1"/>
  <c r="B19" i="1"/>
  <c r="B18" i="1"/>
  <c r="B16" i="1"/>
  <c r="B15" i="1"/>
  <c r="C13" i="1"/>
  <c r="E13" i="1"/>
  <c r="H13" i="1"/>
  <c r="I13" i="1"/>
  <c r="J13" i="1"/>
  <c r="K13" i="1"/>
  <c r="L13" i="1"/>
  <c r="M13" i="1"/>
  <c r="N13" i="1"/>
  <c r="O13" i="1"/>
  <c r="P13" i="1"/>
  <c r="Q13" i="1"/>
  <c r="C12" i="1"/>
  <c r="E12" i="1"/>
  <c r="H12" i="1"/>
  <c r="I12" i="1"/>
  <c r="J12" i="1"/>
  <c r="K12" i="1"/>
  <c r="L12" i="1"/>
  <c r="M12" i="1"/>
  <c r="N12" i="1"/>
  <c r="O12" i="1"/>
  <c r="P12" i="1"/>
  <c r="Q12" i="1"/>
  <c r="C11" i="1"/>
  <c r="E11" i="1"/>
  <c r="H11" i="1"/>
  <c r="I11" i="1"/>
  <c r="J11" i="1"/>
  <c r="K11" i="1"/>
  <c r="L11" i="1"/>
  <c r="M11" i="1"/>
  <c r="N11" i="1"/>
  <c r="O11" i="1"/>
  <c r="P11" i="1"/>
  <c r="Q11" i="1"/>
  <c r="B13" i="1"/>
  <c r="B12" i="1"/>
  <c r="B11" i="1"/>
  <c r="F6" i="1"/>
  <c r="F5" i="1"/>
  <c r="F11" i="1" l="1"/>
  <c r="F12" i="1"/>
</calcChain>
</file>

<file path=xl/sharedStrings.xml><?xml version="1.0" encoding="utf-8"?>
<sst xmlns="http://schemas.openxmlformats.org/spreadsheetml/2006/main" count="92" uniqueCount="71">
  <si>
    <t>bifaciality_factor</t>
  </si>
  <si>
    <t>area_m2</t>
  </si>
  <si>
    <t>installation_tilt</t>
  </si>
  <si>
    <t>Voc_stc</t>
  </si>
  <si>
    <t>Isc_stc</t>
  </si>
  <si>
    <t>Vmpp_stc</t>
  </si>
  <si>
    <t>Impp_stc</t>
  </si>
  <si>
    <t>Pmpp_stc</t>
  </si>
  <si>
    <t>NOCT_c</t>
  </si>
  <si>
    <t>temp_coeff_Isc_pct</t>
  </si>
  <si>
    <t>temp_coeff_Voc_pct</t>
  </si>
  <si>
    <t>temp_coeff_Pmpp_pct</t>
  </si>
  <si>
    <t>datasheet_url</t>
  </si>
  <si>
    <t>CdF-1150A1</t>
  </si>
  <si>
    <t>Thin-film</t>
  </si>
  <si>
    <t>https://www.enfsolar.com/pv/panel-datasheet/crystalline/59226</t>
  </si>
  <si>
    <t>CS6K-270P</t>
  </si>
  <si>
    <t>Polycrystalline</t>
  </si>
  <si>
    <t>https://www.enfsolar.com/pv/panel-datasheet/crystalline/31545</t>
  </si>
  <si>
    <t>G-SA060</t>
  </si>
  <si>
    <t>https://www.ecodirect.com/Kaneka-GSA060-Solar-Panel-60-Watt-48-Volt-p/kaneka-gsa060.htm?srsltid=AfmBOorRMu9cTJ4iG8EfwZeJ3lb8mve8TGg_NgXdyaqb267LLbpLHE1i</t>
  </si>
  <si>
    <t>PERC</t>
  </si>
  <si>
    <t>HIT</t>
  </si>
  <si>
    <t>module_name</t>
  </si>
  <si>
    <t>CDF1150A1</t>
  </si>
  <si>
    <t>CS6K270P</t>
  </si>
  <si>
    <t>GSA060</t>
  </si>
  <si>
    <t>LG345N1C</t>
  </si>
  <si>
    <t>LG370Q1C</t>
  </si>
  <si>
    <t>NAF128GK</t>
  </si>
  <si>
    <t>LG345N1C-V5</t>
  </si>
  <si>
    <t>https://www.lg.com/us/business/download/resources/CT00002151/LG345N1C-V5-AUS_FinalVer051520%5B20200526_232910%5D.pdf</t>
  </si>
  <si>
    <t>Monocrystalline</t>
  </si>
  <si>
    <t>LG370Q1C-V5</t>
  </si>
  <si>
    <t>https://www.europe-solarstore.com/download/lg/LG_Neon_R_LG370Q1C-V5_data_sheet.pdf</t>
  </si>
  <si>
    <t>QPEAK315</t>
  </si>
  <si>
    <t>VBHN330</t>
  </si>
  <si>
    <t>CS3K320MB-T</t>
  </si>
  <si>
    <t>CS3K320MB-V</t>
  </si>
  <si>
    <t>CS3K320MB-f</t>
  </si>
  <si>
    <t>CS3K320MB-r</t>
  </si>
  <si>
    <t>CIEH5C1325-T</t>
  </si>
  <si>
    <t>CIEH5C1325</t>
  </si>
  <si>
    <t>CIEH5C1325-V</t>
  </si>
  <si>
    <t>CHSM78N630</t>
  </si>
  <si>
    <t>CHSM78N630-T</t>
  </si>
  <si>
    <t>CHSM78N630-V</t>
  </si>
  <si>
    <t>TSMDEG405-f</t>
  </si>
  <si>
    <t>TSMDEG405-r</t>
  </si>
  <si>
    <t>https://www.energymatters.com.au/images/sharp/sharp-na-f128gk.pdf</t>
  </si>
  <si>
    <t>NA-F128GK</t>
  </si>
  <si>
    <t>Tandem</t>
  </si>
  <si>
    <t>Q.PEAK DUO-G5</t>
  </si>
  <si>
    <t>commercial_name</t>
  </si>
  <si>
    <t>technology</t>
  </si>
  <si>
    <t>https://cdn.enfsolar.com/z/pp/7fi8b37bht4q/5ed75f62198fe.pdf</t>
  </si>
  <si>
    <t>https://cdn.enfsolar.com/Product/pdf/Crystalline/568e06da465f5.pdf</t>
  </si>
  <si>
    <t>VBHN330SJ47</t>
  </si>
  <si>
    <t>https://cdn.enfsolar.com/Product/pdf/Crystalline/5cee4a0d2d331.pdf</t>
  </si>
  <si>
    <t>CS3K-320MB-AG</t>
  </si>
  <si>
    <t>https://www.enfsolar.com/pv/panel-datasheet/crystalline/35852</t>
  </si>
  <si>
    <t>CIE-H5C1-60-DA2-325</t>
  </si>
  <si>
    <t>HJT</t>
  </si>
  <si>
    <t>TOPCon</t>
  </si>
  <si>
    <t>ASTRO N5 CHSM78N</t>
  </si>
  <si>
    <t>https://cdn.enfsolar.com/z/pp/2025/11/r545h40khvzd1h/630650astro-n5-chsm78ndgf-bh-2465x1134x30-en-20250819-1.pdf</t>
  </si>
  <si>
    <t>TSM-DEG21C.20</t>
  </si>
  <si>
    <t>https://static.trinasolar.com/sites/default/files/PS-M%20Datasheet_Duomax_Twin_DEG15MC.20%28II%29_NA_2019_B%20web.pdf</t>
  </si>
  <si>
    <t>bifacial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</si>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</sst>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g.com/us/business/download/resources/CT00002151/LG345N1C-V5-AUS_FinalVer051520%5B20200526_232910%5D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BE0C5-B042-405B-BD21-11B134EDB32E}">
  <dimension ref="A1:Q21"/>
  <sheetViews>
    <sheetView tabSelected="1" zoomScale="115" zoomScaleNormal="115" workbookViewId="0">
      <selection activeCell="B24" sqref="B24"/>
    </sheetView>
  </sheetViews>
  <sheetFormatPr baseColWidth="10" defaultRowHeight="15" x14ac:dyDescent="0.25"/>
  <cols>
    <col min="1" max="1" width="15.7109375" customWidth="1"/>
    <col min="2" max="2" width="22.140625" customWidth="1"/>
    <col min="3" max="3" width="15" customWidth="1"/>
    <col min="4" max="4" width="10.7109375" customWidth="1"/>
    <col min="5" max="5" width="16" customWidth="1"/>
    <col min="6" max="6" width="11.140625" customWidth="1"/>
    <col min="7" max="7" width="14.5703125" customWidth="1"/>
    <col min="8" max="8" width="9.85546875" customWidth="1"/>
    <col min="9" max="9" width="9.7109375" customWidth="1"/>
    <col min="10" max="10" width="10.5703125" customWidth="1"/>
    <col min="13" max="13" width="10" customWidth="1"/>
    <col min="14" max="14" width="17.7109375" customWidth="1"/>
    <col min="15" max="15" width="18.5703125" customWidth="1"/>
    <col min="16" max="16" width="19.7109375" customWidth="1"/>
  </cols>
  <sheetData>
    <row r="1" spans="1:17" x14ac:dyDescent="0.25">
      <c r="A1" t="s">
        <v>23</v>
      </c>
      <c r="B1" t="s">
        <v>53</v>
      </c>
      <c r="C1" t="s">
        <v>54</v>
      </c>
      <c r="D1" t="s">
        <v>68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</row>
    <row r="2" spans="1:17" x14ac:dyDescent="0.25">
      <c r="A2" t="s">
        <v>24</v>
      </c>
      <c r="B2" t="s">
        <v>13</v>
      </c>
      <c r="C2" t="s">
        <v>14</v>
      </c>
      <c r="D2" t="s">
        <v>69</v>
      </c>
      <c r="E2">
        <v>0</v>
      </c>
      <c r="F2">
        <v>0.80500000000000005</v>
      </c>
      <c r="G2">
        <v>20</v>
      </c>
      <c r="H2">
        <v>77.2</v>
      </c>
      <c r="I2">
        <v>2.0699999999999998</v>
      </c>
      <c r="J2">
        <v>59.3</v>
      </c>
      <c r="K2">
        <v>1.94</v>
      </c>
      <c r="L2">
        <v>115</v>
      </c>
      <c r="M2">
        <v>46</v>
      </c>
      <c r="N2">
        <v>0.01</v>
      </c>
      <c r="O2">
        <v>-0.31</v>
      </c>
      <c r="P2">
        <v>-0.23</v>
      </c>
      <c r="Q2" t="s">
        <v>15</v>
      </c>
    </row>
    <row r="3" spans="1:17" x14ac:dyDescent="0.25">
      <c r="A3" t="s">
        <v>25</v>
      </c>
      <c r="B3" t="s">
        <v>16</v>
      </c>
      <c r="C3" t="s">
        <v>17</v>
      </c>
      <c r="D3" t="s">
        <v>69</v>
      </c>
      <c r="E3">
        <v>0</v>
      </c>
      <c r="F3">
        <v>0</v>
      </c>
      <c r="G3">
        <v>20</v>
      </c>
      <c r="H3">
        <v>37.9</v>
      </c>
      <c r="I3">
        <v>9.32</v>
      </c>
      <c r="J3">
        <v>30.8</v>
      </c>
      <c r="K3">
        <v>8.75</v>
      </c>
      <c r="L3">
        <v>270</v>
      </c>
      <c r="M3">
        <v>43</v>
      </c>
      <c r="N3">
        <v>0.05</v>
      </c>
      <c r="O3">
        <v>-0.31</v>
      </c>
      <c r="P3">
        <v>-0.4</v>
      </c>
      <c r="Q3" t="s">
        <v>18</v>
      </c>
    </row>
    <row r="4" spans="1:17" x14ac:dyDescent="0.25">
      <c r="A4" t="s">
        <v>26</v>
      </c>
      <c r="B4" t="s">
        <v>19</v>
      </c>
      <c r="C4" t="s">
        <v>14</v>
      </c>
      <c r="D4" t="s">
        <v>69</v>
      </c>
      <c r="E4">
        <v>0</v>
      </c>
      <c r="F4">
        <v>0.95040000000000002</v>
      </c>
      <c r="G4">
        <v>20</v>
      </c>
      <c r="H4">
        <v>91.8</v>
      </c>
      <c r="I4">
        <v>1.19</v>
      </c>
      <c r="J4">
        <v>67</v>
      </c>
      <c r="K4">
        <v>0.9</v>
      </c>
      <c r="L4">
        <v>60</v>
      </c>
      <c r="Q4" t="s">
        <v>20</v>
      </c>
    </row>
    <row r="5" spans="1:17" x14ac:dyDescent="0.25">
      <c r="A5" t="s">
        <v>27</v>
      </c>
      <c r="B5" t="s">
        <v>30</v>
      </c>
      <c r="C5" t="s">
        <v>32</v>
      </c>
      <c r="D5" t="s">
        <v>69</v>
      </c>
      <c r="E5">
        <v>0</v>
      </c>
      <c r="F5">
        <f>1.686*1.016</f>
        <v>1.7129760000000001</v>
      </c>
      <c r="G5">
        <v>20</v>
      </c>
      <c r="H5">
        <v>41.2</v>
      </c>
      <c r="I5">
        <v>10.57</v>
      </c>
      <c r="J5">
        <v>34.9</v>
      </c>
      <c r="K5">
        <v>9.89</v>
      </c>
      <c r="L5">
        <v>345</v>
      </c>
      <c r="M5">
        <v>42</v>
      </c>
      <c r="N5">
        <v>0.03</v>
      </c>
      <c r="O5">
        <v>-0.26</v>
      </c>
      <c r="P5">
        <v>-0.36</v>
      </c>
      <c r="Q5" s="1" t="s">
        <v>31</v>
      </c>
    </row>
    <row r="6" spans="1:17" x14ac:dyDescent="0.25">
      <c r="A6" t="s">
        <v>28</v>
      </c>
      <c r="B6" t="s">
        <v>33</v>
      </c>
      <c r="C6" t="s">
        <v>32</v>
      </c>
      <c r="D6" t="s">
        <v>69</v>
      </c>
      <c r="E6">
        <v>0</v>
      </c>
      <c r="F6">
        <f>1.7*1.016</f>
        <v>1.7272000000000001</v>
      </c>
      <c r="G6">
        <v>20</v>
      </c>
      <c r="H6">
        <v>42.8</v>
      </c>
      <c r="I6">
        <v>10.82</v>
      </c>
      <c r="J6">
        <v>37</v>
      </c>
      <c r="K6">
        <v>10.01</v>
      </c>
      <c r="L6">
        <v>370</v>
      </c>
      <c r="M6">
        <v>44</v>
      </c>
      <c r="N6">
        <v>3.6999999999999998E-2</v>
      </c>
      <c r="O6">
        <v>-0.24</v>
      </c>
      <c r="P6">
        <v>-0.3</v>
      </c>
      <c r="Q6" t="s">
        <v>34</v>
      </c>
    </row>
    <row r="7" spans="1:17" x14ac:dyDescent="0.25">
      <c r="A7" t="s">
        <v>29</v>
      </c>
      <c r="B7" t="s">
        <v>50</v>
      </c>
      <c r="C7" t="s">
        <v>51</v>
      </c>
      <c r="D7" t="s">
        <v>69</v>
      </c>
      <c r="E7">
        <v>0</v>
      </c>
      <c r="F7">
        <f>1.409*1.009</f>
        <v>1.421681</v>
      </c>
      <c r="G7">
        <v>20</v>
      </c>
      <c r="H7">
        <v>59.8</v>
      </c>
      <c r="I7">
        <v>3.45</v>
      </c>
      <c r="J7">
        <v>45.4</v>
      </c>
      <c r="K7">
        <v>2.82</v>
      </c>
      <c r="L7">
        <v>128</v>
      </c>
      <c r="M7">
        <v>44</v>
      </c>
      <c r="N7">
        <v>7.0000000000000007E-2</v>
      </c>
      <c r="O7">
        <v>-0.3</v>
      </c>
      <c r="P7">
        <v>-0.24</v>
      </c>
      <c r="Q7" t="s">
        <v>49</v>
      </c>
    </row>
    <row r="8" spans="1:17" x14ac:dyDescent="0.25">
      <c r="A8" t="s">
        <v>35</v>
      </c>
      <c r="B8" t="s">
        <v>52</v>
      </c>
      <c r="C8" t="s">
        <v>21</v>
      </c>
      <c r="D8" t="s">
        <v>69</v>
      </c>
      <c r="E8">
        <v>0</v>
      </c>
      <c r="F8">
        <f>1.685</f>
        <v>1.6850000000000001</v>
      </c>
      <c r="G8">
        <v>20</v>
      </c>
      <c r="H8">
        <v>39.869999999999997</v>
      </c>
      <c r="I8">
        <v>10.039999999999999</v>
      </c>
      <c r="J8">
        <v>32.979999999999997</v>
      </c>
      <c r="K8">
        <v>9.5500000000000007</v>
      </c>
      <c r="L8">
        <v>315</v>
      </c>
      <c r="M8">
        <v>43</v>
      </c>
      <c r="N8">
        <v>0.04</v>
      </c>
      <c r="O8">
        <v>-0.27</v>
      </c>
      <c r="P8">
        <v>-0.36</v>
      </c>
      <c r="Q8" t="s">
        <v>55</v>
      </c>
    </row>
    <row r="9" spans="1:17" x14ac:dyDescent="0.25">
      <c r="A9" t="s">
        <v>36</v>
      </c>
      <c r="B9" t="s">
        <v>57</v>
      </c>
      <c r="C9" t="s">
        <v>22</v>
      </c>
      <c r="D9" t="s">
        <v>69</v>
      </c>
      <c r="E9">
        <v>0</v>
      </c>
      <c r="F9">
        <f>1.59*1.053</f>
        <v>1.6742699999999999</v>
      </c>
      <c r="G9">
        <v>20</v>
      </c>
      <c r="H9">
        <v>69.7</v>
      </c>
      <c r="I9">
        <v>6.07</v>
      </c>
      <c r="J9">
        <v>58</v>
      </c>
      <c r="K9">
        <v>5.7</v>
      </c>
      <c r="L9">
        <v>330</v>
      </c>
      <c r="M9">
        <v>44</v>
      </c>
      <c r="N9">
        <f>ROUND((1.82/1000)*100/I9, 3)</f>
        <v>0.03</v>
      </c>
      <c r="O9">
        <f>ROUND(-0.174*100/H9, 3)</f>
        <v>-0.25</v>
      </c>
      <c r="P9">
        <v>-0.28999999999999998</v>
      </c>
      <c r="Q9" t="s">
        <v>56</v>
      </c>
    </row>
    <row r="10" spans="1:17" x14ac:dyDescent="0.25">
      <c r="A10" t="s">
        <v>37</v>
      </c>
      <c r="B10" t="s">
        <v>59</v>
      </c>
      <c r="C10" t="s">
        <v>21</v>
      </c>
      <c r="D10" t="s">
        <v>70</v>
      </c>
      <c r="E10">
        <v>0.7</v>
      </c>
      <c r="F10">
        <f>1.696*0.992</f>
        <v>1.6824319999999999</v>
      </c>
      <c r="G10">
        <v>15</v>
      </c>
      <c r="H10">
        <v>40.1</v>
      </c>
      <c r="I10">
        <v>10.14</v>
      </c>
      <c r="J10">
        <v>33.299999999999997</v>
      </c>
      <c r="K10">
        <v>9.61</v>
      </c>
      <c r="L10">
        <v>320</v>
      </c>
      <c r="M10">
        <v>41</v>
      </c>
      <c r="N10">
        <v>0.05</v>
      </c>
      <c r="O10">
        <v>-0.28999999999999998</v>
      </c>
      <c r="P10">
        <v>-0.37</v>
      </c>
      <c r="Q10" t="s">
        <v>58</v>
      </c>
    </row>
    <row r="11" spans="1:17" x14ac:dyDescent="0.25">
      <c r="A11" t="s">
        <v>38</v>
      </c>
      <c r="B11" t="str">
        <f>B10</f>
        <v>CS3K-320MB-AG</v>
      </c>
      <c r="C11" t="str">
        <f t="shared" ref="C11:Q11" si="0">C10</f>
        <v>PERC</v>
      </c>
      <c r="D11" t="s">
        <v>70</v>
      </c>
      <c r="E11">
        <f t="shared" si="0"/>
        <v>0.7</v>
      </c>
      <c r="F11">
        <f t="shared" si="0"/>
        <v>1.6824319999999999</v>
      </c>
      <c r="G11">
        <v>90</v>
      </c>
      <c r="H11">
        <f t="shared" si="0"/>
        <v>40.1</v>
      </c>
      <c r="I11">
        <f t="shared" si="0"/>
        <v>10.14</v>
      </c>
      <c r="J11">
        <f t="shared" si="0"/>
        <v>33.299999999999997</v>
      </c>
      <c r="K11">
        <f t="shared" si="0"/>
        <v>9.61</v>
      </c>
      <c r="L11">
        <f t="shared" si="0"/>
        <v>320</v>
      </c>
      <c r="M11">
        <f t="shared" si="0"/>
        <v>41</v>
      </c>
      <c r="N11">
        <f t="shared" si="0"/>
        <v>0.05</v>
      </c>
      <c r="O11">
        <f t="shared" si="0"/>
        <v>-0.28999999999999998</v>
      </c>
      <c r="P11">
        <f t="shared" si="0"/>
        <v>-0.37</v>
      </c>
      <c r="Q11" t="str">
        <f t="shared" si="0"/>
        <v>https://cdn.enfsolar.com/Product/pdf/Crystalline/5cee4a0d2d331.pdf</v>
      </c>
    </row>
    <row r="12" spans="1:17" x14ac:dyDescent="0.25">
      <c r="A12" t="s">
        <v>39</v>
      </c>
      <c r="B12" t="str">
        <f>B10</f>
        <v>CS3K-320MB-AG</v>
      </c>
      <c r="C12" t="str">
        <f t="shared" ref="C12:Q12" si="1">C10</f>
        <v>PERC</v>
      </c>
      <c r="D12" t="s">
        <v>70</v>
      </c>
      <c r="E12">
        <f t="shared" si="1"/>
        <v>0.7</v>
      </c>
      <c r="F12">
        <f t="shared" si="1"/>
        <v>1.6824319999999999</v>
      </c>
      <c r="G12">
        <v>15</v>
      </c>
      <c r="H12">
        <f t="shared" si="1"/>
        <v>40.1</v>
      </c>
      <c r="I12">
        <f t="shared" si="1"/>
        <v>10.14</v>
      </c>
      <c r="J12">
        <f t="shared" si="1"/>
        <v>33.299999999999997</v>
      </c>
      <c r="K12">
        <f t="shared" si="1"/>
        <v>9.61</v>
      </c>
      <c r="L12">
        <f t="shared" si="1"/>
        <v>320</v>
      </c>
      <c r="M12">
        <f t="shared" si="1"/>
        <v>41</v>
      </c>
      <c r="N12">
        <f t="shared" si="1"/>
        <v>0.05</v>
      </c>
      <c r="O12">
        <f t="shared" si="1"/>
        <v>-0.28999999999999998</v>
      </c>
      <c r="P12">
        <f t="shared" si="1"/>
        <v>-0.37</v>
      </c>
      <c r="Q12" t="str">
        <f t="shared" si="1"/>
        <v>https://cdn.enfsolar.com/Product/pdf/Crystalline/5cee4a0d2d331.pdf</v>
      </c>
    </row>
    <row r="13" spans="1:17" x14ac:dyDescent="0.25">
      <c r="A13" t="s">
        <v>40</v>
      </c>
      <c r="B13" t="str">
        <f>B10</f>
        <v>CS3K-320MB-AG</v>
      </c>
      <c r="C13" t="str">
        <f t="shared" ref="C13:Q13" si="2">C10</f>
        <v>PERC</v>
      </c>
      <c r="D13" t="s">
        <v>70</v>
      </c>
      <c r="E13">
        <f t="shared" si="2"/>
        <v>0.7</v>
      </c>
      <c r="F13">
        <f t="shared" si="2"/>
        <v>1.6824319999999999</v>
      </c>
      <c r="G13">
        <v>15</v>
      </c>
      <c r="H13">
        <f t="shared" si="2"/>
        <v>40.1</v>
      </c>
      <c r="I13">
        <f t="shared" si="2"/>
        <v>10.14</v>
      </c>
      <c r="J13">
        <f t="shared" si="2"/>
        <v>33.299999999999997</v>
      </c>
      <c r="K13">
        <f t="shared" si="2"/>
        <v>9.61</v>
      </c>
      <c r="L13">
        <f t="shared" si="2"/>
        <v>320</v>
      </c>
      <c r="M13">
        <f t="shared" si="2"/>
        <v>41</v>
      </c>
      <c r="N13">
        <f t="shared" si="2"/>
        <v>0.05</v>
      </c>
      <c r="O13">
        <f t="shared" si="2"/>
        <v>-0.28999999999999998</v>
      </c>
      <c r="P13">
        <f t="shared" si="2"/>
        <v>-0.37</v>
      </c>
      <c r="Q13" t="str">
        <f t="shared" si="2"/>
        <v>https://cdn.enfsolar.com/Product/pdf/Crystalline/5cee4a0d2d331.pdf</v>
      </c>
    </row>
    <row r="14" spans="1:17" x14ac:dyDescent="0.25">
      <c r="A14" t="s">
        <v>42</v>
      </c>
      <c r="B14" t="s">
        <v>61</v>
      </c>
      <c r="C14" t="s">
        <v>62</v>
      </c>
      <c r="D14" t="s">
        <v>70</v>
      </c>
      <c r="F14">
        <f>1.662*0.99</f>
        <v>1.6453799999999998</v>
      </c>
      <c r="G14">
        <v>20</v>
      </c>
      <c r="H14">
        <v>44.6</v>
      </c>
      <c r="I14">
        <v>9.14</v>
      </c>
      <c r="J14">
        <v>37.9</v>
      </c>
      <c r="K14">
        <v>8.56</v>
      </c>
      <c r="L14">
        <v>325</v>
      </c>
      <c r="M14">
        <v>43</v>
      </c>
      <c r="N14">
        <v>0.04</v>
      </c>
      <c r="O14">
        <v>-0.26200000000000001</v>
      </c>
      <c r="P14">
        <v>-0.27</v>
      </c>
      <c r="Q14" t="s">
        <v>60</v>
      </c>
    </row>
    <row r="15" spans="1:17" x14ac:dyDescent="0.25">
      <c r="A15" t="s">
        <v>41</v>
      </c>
      <c r="B15" t="str">
        <f>B14</f>
        <v>CIE-H5C1-60-DA2-325</v>
      </c>
      <c r="C15" t="str">
        <f t="shared" ref="C15:Q15" si="3">C14</f>
        <v>HJT</v>
      </c>
      <c r="D15" t="s">
        <v>70</v>
      </c>
      <c r="F15">
        <f t="shared" si="3"/>
        <v>1.6453799999999998</v>
      </c>
      <c r="G15">
        <v>15</v>
      </c>
      <c r="H15">
        <f t="shared" si="3"/>
        <v>44.6</v>
      </c>
      <c r="I15">
        <f t="shared" si="3"/>
        <v>9.14</v>
      </c>
      <c r="J15">
        <f t="shared" si="3"/>
        <v>37.9</v>
      </c>
      <c r="K15">
        <f t="shared" si="3"/>
        <v>8.56</v>
      </c>
      <c r="L15">
        <f t="shared" si="3"/>
        <v>325</v>
      </c>
      <c r="M15">
        <f t="shared" si="3"/>
        <v>43</v>
      </c>
      <c r="N15">
        <f t="shared" si="3"/>
        <v>0.04</v>
      </c>
      <c r="O15">
        <f t="shared" si="3"/>
        <v>-0.26200000000000001</v>
      </c>
      <c r="P15">
        <f t="shared" si="3"/>
        <v>-0.27</v>
      </c>
      <c r="Q15" t="str">
        <f t="shared" si="3"/>
        <v>https://www.enfsolar.com/pv/panel-datasheet/crystalline/35852</v>
      </c>
    </row>
    <row r="16" spans="1:17" x14ac:dyDescent="0.25">
      <c r="A16" t="s">
        <v>43</v>
      </c>
      <c r="B16" t="str">
        <f>B14</f>
        <v>CIE-H5C1-60-DA2-325</v>
      </c>
      <c r="C16" t="str">
        <f t="shared" ref="C16:Q16" si="4">C14</f>
        <v>HJT</v>
      </c>
      <c r="D16" t="s">
        <v>70</v>
      </c>
      <c r="F16">
        <f t="shared" si="4"/>
        <v>1.6453799999999998</v>
      </c>
      <c r="G16">
        <v>90</v>
      </c>
      <c r="H16">
        <f t="shared" si="4"/>
        <v>44.6</v>
      </c>
      <c r="I16">
        <f t="shared" si="4"/>
        <v>9.14</v>
      </c>
      <c r="J16">
        <f t="shared" si="4"/>
        <v>37.9</v>
      </c>
      <c r="K16">
        <f t="shared" si="4"/>
        <v>8.56</v>
      </c>
      <c r="L16">
        <f t="shared" si="4"/>
        <v>325</v>
      </c>
      <c r="M16">
        <f t="shared" si="4"/>
        <v>43</v>
      </c>
      <c r="N16">
        <f t="shared" si="4"/>
        <v>0.04</v>
      </c>
      <c r="O16">
        <f t="shared" si="4"/>
        <v>-0.26200000000000001</v>
      </c>
      <c r="P16">
        <f t="shared" si="4"/>
        <v>-0.27</v>
      </c>
      <c r="Q16" t="str">
        <f t="shared" si="4"/>
        <v>https://www.enfsolar.com/pv/panel-datasheet/crystalline/35852</v>
      </c>
    </row>
    <row r="17" spans="1:17" x14ac:dyDescent="0.25">
      <c r="A17" t="s">
        <v>44</v>
      </c>
      <c r="B17" t="s">
        <v>64</v>
      </c>
      <c r="C17" t="s">
        <v>63</v>
      </c>
      <c r="D17" t="s">
        <v>70</v>
      </c>
      <c r="E17">
        <v>0.8</v>
      </c>
      <c r="F17">
        <f>2.465*1.134</f>
        <v>2.7953099999999997</v>
      </c>
      <c r="G17">
        <v>20</v>
      </c>
      <c r="H17">
        <v>56.48</v>
      </c>
      <c r="I17">
        <v>14.02</v>
      </c>
      <c r="J17">
        <v>47.51</v>
      </c>
      <c r="K17">
        <v>13.26</v>
      </c>
      <c r="L17">
        <v>630</v>
      </c>
      <c r="N17">
        <v>4.2999999999999997E-2</v>
      </c>
      <c r="O17">
        <v>-0.25</v>
      </c>
      <c r="P17">
        <v>-0.28999999999999998</v>
      </c>
      <c r="Q17" t="s">
        <v>65</v>
      </c>
    </row>
    <row r="18" spans="1:17" x14ac:dyDescent="0.25">
      <c r="A18" t="s">
        <v>45</v>
      </c>
      <c r="B18" t="str">
        <f>B17</f>
        <v>ASTRO N5 CHSM78N</v>
      </c>
      <c r="C18" t="str">
        <f t="shared" ref="C18:Q18" si="5">C17</f>
        <v>TOPCon</v>
      </c>
      <c r="D18" t="s">
        <v>70</v>
      </c>
      <c r="E18">
        <f t="shared" si="5"/>
        <v>0.8</v>
      </c>
      <c r="F18">
        <f t="shared" si="5"/>
        <v>2.7953099999999997</v>
      </c>
      <c r="G18">
        <v>15</v>
      </c>
      <c r="H18">
        <f t="shared" si="5"/>
        <v>56.48</v>
      </c>
      <c r="I18">
        <f t="shared" si="5"/>
        <v>14.02</v>
      </c>
      <c r="J18">
        <f t="shared" si="5"/>
        <v>47.51</v>
      </c>
      <c r="K18">
        <f t="shared" si="5"/>
        <v>13.26</v>
      </c>
      <c r="L18">
        <f t="shared" si="5"/>
        <v>630</v>
      </c>
      <c r="M18">
        <f t="shared" si="5"/>
        <v>0</v>
      </c>
      <c r="N18">
        <f t="shared" si="5"/>
        <v>4.2999999999999997E-2</v>
      </c>
      <c r="O18">
        <f t="shared" si="5"/>
        <v>-0.25</v>
      </c>
      <c r="P18">
        <f t="shared" si="5"/>
        <v>-0.28999999999999998</v>
      </c>
      <c r="Q18" t="str">
        <f t="shared" si="5"/>
        <v>https://cdn.enfsolar.com/z/pp/2025/11/r545h40khvzd1h/630650astro-n5-chsm78ndgf-bh-2465x1134x30-en-20250819-1.pdf</v>
      </c>
    </row>
    <row r="19" spans="1:17" x14ac:dyDescent="0.25">
      <c r="A19" t="s">
        <v>46</v>
      </c>
      <c r="B19" t="str">
        <f>B17</f>
        <v>ASTRO N5 CHSM78N</v>
      </c>
      <c r="C19" t="str">
        <f t="shared" ref="C19:Q19" si="6">C17</f>
        <v>TOPCon</v>
      </c>
      <c r="D19" t="s">
        <v>70</v>
      </c>
      <c r="E19">
        <f t="shared" si="6"/>
        <v>0.8</v>
      </c>
      <c r="F19">
        <f t="shared" si="6"/>
        <v>2.7953099999999997</v>
      </c>
      <c r="G19">
        <v>90</v>
      </c>
      <c r="H19">
        <f t="shared" si="6"/>
        <v>56.48</v>
      </c>
      <c r="I19">
        <f t="shared" si="6"/>
        <v>14.02</v>
      </c>
      <c r="J19">
        <f t="shared" si="6"/>
        <v>47.51</v>
      </c>
      <c r="K19">
        <f t="shared" si="6"/>
        <v>13.26</v>
      </c>
      <c r="L19">
        <f t="shared" si="6"/>
        <v>630</v>
      </c>
      <c r="M19">
        <f t="shared" si="6"/>
        <v>0</v>
      </c>
      <c r="N19">
        <f t="shared" si="6"/>
        <v>4.2999999999999997E-2</v>
      </c>
      <c r="O19">
        <f t="shared" si="6"/>
        <v>-0.25</v>
      </c>
      <c r="P19">
        <f t="shared" si="6"/>
        <v>-0.28999999999999998</v>
      </c>
      <c r="Q19" t="str">
        <f t="shared" si="6"/>
        <v>https://cdn.enfsolar.com/z/pp/2025/11/r545h40khvzd1h/630650astro-n5-chsm78ndgf-bh-2465x1134x30-en-20250819-1.pdf</v>
      </c>
    </row>
    <row r="20" spans="1:17" x14ac:dyDescent="0.25">
      <c r="A20" t="s">
        <v>47</v>
      </c>
      <c r="B20" t="s">
        <v>66</v>
      </c>
      <c r="D20" t="s">
        <v>70</v>
      </c>
      <c r="F20">
        <f>2.031*1.011</f>
        <v>2.0533410000000001</v>
      </c>
      <c r="G20">
        <v>15</v>
      </c>
      <c r="H20">
        <v>49.1</v>
      </c>
      <c r="I20">
        <v>10.37</v>
      </c>
      <c r="J20">
        <v>41.1</v>
      </c>
      <c r="K20">
        <v>9.86</v>
      </c>
      <c r="L20">
        <v>405</v>
      </c>
      <c r="M20">
        <v>41</v>
      </c>
      <c r="N20">
        <v>0.05</v>
      </c>
      <c r="O20">
        <v>-0.28999999999999998</v>
      </c>
      <c r="P20">
        <v>-0.37</v>
      </c>
      <c r="Q20" t="s">
        <v>67</v>
      </c>
    </row>
    <row r="21" spans="1:17" x14ac:dyDescent="0.25">
      <c r="A21" t="s">
        <v>48</v>
      </c>
      <c r="B21" t="str">
        <f>B20</f>
        <v>TSM-DEG21C.20</v>
      </c>
      <c r="C21">
        <f t="shared" ref="C21:Q21" si="7">C20</f>
        <v>0</v>
      </c>
      <c r="D21" t="s">
        <v>70</v>
      </c>
      <c r="F21">
        <f t="shared" si="7"/>
        <v>2.0533410000000001</v>
      </c>
      <c r="G21">
        <v>15</v>
      </c>
      <c r="H21">
        <f t="shared" si="7"/>
        <v>49.1</v>
      </c>
      <c r="I21">
        <f t="shared" si="7"/>
        <v>10.37</v>
      </c>
      <c r="J21">
        <f t="shared" si="7"/>
        <v>41.1</v>
      </c>
      <c r="K21">
        <f t="shared" si="7"/>
        <v>9.86</v>
      </c>
      <c r="L21">
        <f t="shared" si="7"/>
        <v>405</v>
      </c>
      <c r="M21">
        <f t="shared" si="7"/>
        <v>41</v>
      </c>
      <c r="N21">
        <f t="shared" si="7"/>
        <v>0.05</v>
      </c>
      <c r="O21">
        <f t="shared" si="7"/>
        <v>-0.28999999999999998</v>
      </c>
      <c r="P21">
        <f t="shared" si="7"/>
        <v>-0.37</v>
      </c>
      <c r="Q21" t="str">
        <f t="shared" si="7"/>
        <v>https://static.trinasolar.com/sites/default/files/PS-M%20Datasheet_Duomax_Twin_DEG15MC.20%28II%29_NA_2019_B%20web.pdf</v>
      </c>
    </row>
  </sheetData>
  <hyperlinks>
    <hyperlink ref="Q5" r:id="rId1" xr:uid="{BDE8295B-30C0-4CF5-8DD0-A3AB90F0053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modules_metadata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Yábar</dc:creator>
  <cp:lastModifiedBy>Salvador Yábar</cp:lastModifiedBy>
  <dcterms:created xsi:type="dcterms:W3CDTF">2026-01-30T17:55:18Z</dcterms:created>
  <dcterms:modified xsi:type="dcterms:W3CDTF">2026-01-30T22:56:47Z</dcterms:modified>
</cp:coreProperties>
</file>